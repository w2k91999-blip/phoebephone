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Uni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£#,##0"/>
    <numFmt numFmtId="165" formatCode="£#,##0.00"/>
    <numFmt numFmtId="166" formatCode="£#,##0.000"/>
    <numFmt numFmtId="167" formatCode="0.0 &quot;min&quot;"/>
    <numFmt numFmtId="168" formatCode="0.0"/>
    <numFmt numFmtId="169" formatCode="0.0%"/>
    <numFmt numFmtId="170" formatCode="0.0&quot;x&quot;"/>
    <numFmt numFmtId="171" formatCode="0.0 &quot;months&quot;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B45309"/>
      <sz val="10"/>
    </font>
    <font>
      <name val="Calibri"/>
      <b val="1"/>
      <color rgb="00FFFFFF"/>
      <sz val="10.5"/>
    </font>
    <font>
      <name val="Calibri"/>
      <color rgb="000F1729"/>
      <sz val="10.5"/>
    </font>
    <font>
      <name val="Calibri"/>
      <color rgb="000F1729"/>
      <sz val="11"/>
    </font>
    <font>
      <name val="Calibri"/>
      <i val="1"/>
      <color rgb="006B7280"/>
      <sz val="9"/>
    </font>
    <font>
      <name val="Calibri"/>
      <b val="1"/>
      <color rgb="001E40AF"/>
      <sz val="11"/>
    </font>
    <font>
      <name val="Calibri"/>
      <i val="1"/>
      <color rgb="001E40AF"/>
      <sz val="10"/>
    </font>
    <font>
      <name val="Calibri"/>
      <b val="1"/>
      <color rgb="00FFFFFF"/>
      <sz val="9.5"/>
    </font>
    <font>
      <name val="Calibri"/>
      <b val="1"/>
      <color rgb="00FFFFFF"/>
      <sz val="11"/>
    </font>
    <font>
      <name val="Calibri"/>
      <b val="1"/>
      <color rgb="000F1729"/>
      <sz val="10.5"/>
    </font>
    <font>
      <name val="Calibri"/>
      <color rgb="00B91C1C"/>
      <sz val="10.5"/>
    </font>
    <font>
      <name val="Calibri"/>
      <b val="1"/>
      <color rgb="001E40AF"/>
      <sz val="12"/>
    </font>
    <font>
      <name val="Calibri"/>
      <b val="1"/>
      <color rgb="0015803D"/>
      <sz val="11"/>
    </font>
    <font>
      <name val="Calibri"/>
      <b val="1"/>
      <color rgb="00B91C1C"/>
      <sz val="11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sz val="10.5"/>
    </font>
    <font>
      <name val="Calibri"/>
      <i val="1"/>
      <color rgb="006B7280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F1729"/>
      </patternFill>
    </fill>
    <fill>
      <patternFill patternType="solid">
        <fgColor rgb="00FEFCE8"/>
      </patternFill>
    </fill>
    <fill>
      <patternFill patternType="solid">
        <fgColor rgb="001B2744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1729"/>
      </left>
      <right style="medium">
        <color rgb="000F1729"/>
      </right>
      <top style="medium">
        <color rgb="000F1729"/>
      </top>
      <bottom style="medium">
        <color rgb="000F1729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>
      <left style="medium">
        <color rgb="0086EFAC"/>
      </left>
      <right style="medium">
        <color rgb="0086EFAC"/>
      </right>
      <top style="medium">
        <color rgb="0086EFAC"/>
      </top>
      <bottom style="medium">
        <color rgb="0086EFAC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medium">
        <color rgb="00334155"/>
      </left>
      <right style="medium">
        <color rgb="00334155"/>
      </right>
      <top style="medium">
        <color rgb="00334155"/>
      </top>
      <bottom style="medium">
        <color rgb="00334155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9" fontId="5" fillId="3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" fontId="7" fillId="5" borderId="1" applyAlignment="1" pivotButton="0" quotePrefix="0" xfId="0">
      <alignment horizontal="right" vertical="center"/>
    </xf>
    <xf numFmtId="170" fontId="7" fillId="5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" fontId="11" fillId="6" borderId="1" applyAlignment="1" pivotButton="0" quotePrefix="0" xfId="0">
      <alignment horizontal="center" vertical="center"/>
    </xf>
    <xf numFmtId="1" fontId="12" fillId="6" borderId="1" applyAlignment="1" pivotButton="0" quotePrefix="0" xfId="0">
      <alignment horizontal="center" vertical="center"/>
    </xf>
    <xf numFmtId="1" fontId="13" fillId="5" borderId="3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4" fontId="14" fillId="7" borderId="4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9" fontId="4" fillId="6" borderId="1" applyAlignment="1" pivotButton="0" quotePrefix="0" xfId="0">
      <alignment horizontal="center" vertical="center"/>
    </xf>
    <xf numFmtId="164" fontId="15" fillId="8" borderId="5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" fontId="11" fillId="9" borderId="1" applyAlignment="1" pivotButton="0" quotePrefix="0" xfId="0">
      <alignment horizontal="center" vertical="center"/>
    </xf>
    <xf numFmtId="1" fontId="12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9" fontId="4" fillId="9" borderId="1" applyAlignment="1" pivotButton="0" quotePrefix="0" xfId="0">
      <alignment horizontal="center" vertical="center"/>
    </xf>
    <xf numFmtId="164" fontId="14" fillId="7" borderId="5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164" fontId="10" fillId="4" borderId="6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0" fontId="16" fillId="2" borderId="6" applyAlignment="1" pivotButton="0" quotePrefix="0" xfId="0">
      <alignment horizontal="center" vertical="center" wrapText="1"/>
    </xf>
    <xf numFmtId="164" fontId="13" fillId="5" borderId="3" applyAlignment="1" pivotButton="0" quotePrefix="0" xfId="0">
      <alignment horizontal="center" vertical="center"/>
    </xf>
    <xf numFmtId="165" fontId="13" fillId="5" borderId="3" applyAlignment="1" pivotButton="0" quotePrefix="0" xfId="0">
      <alignment horizontal="center" vertical="center"/>
    </xf>
    <xf numFmtId="9" fontId="13" fillId="5" borderId="3" applyAlignment="1" pivotButton="0" quotePrefix="0" xfId="0">
      <alignment horizontal="center" vertical="center"/>
    </xf>
    <xf numFmtId="170" fontId="13" fillId="5" borderId="3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9" fontId="4" fillId="6" borderId="1" applyAlignment="1" pivotButton="0" quotePrefix="0" xfId="0">
      <alignment horizontal="right" vertical="center"/>
    </xf>
    <xf numFmtId="9" fontId="4" fillId="9" borderId="1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0" fontId="0" fillId="0" borderId="1" pivotButton="0" quotePrefix="0" xfId="0"/>
    <xf numFmtId="0" fontId="19" fillId="0" borderId="1" applyAlignment="1" pivotButton="0" quotePrefix="0" xfId="0">
      <alignment horizontal="left" vertical="center" wrapText="1"/>
    </xf>
    <xf numFmtId="164" fontId="7" fillId="5" borderId="3" applyAlignment="1" pivotButton="0" quotePrefix="0" xfId="0">
      <alignment horizontal="right" vertical="center"/>
    </xf>
    <xf numFmtId="1" fontId="7" fillId="5" borderId="3" applyAlignment="1" pivotButton="0" quotePrefix="0" xfId="0">
      <alignment horizontal="right" vertical="center"/>
    </xf>
    <xf numFmtId="165" fontId="14" fillId="7" borderId="4" applyAlignment="1" pivotButton="0" quotePrefix="0" xfId="0">
      <alignment horizontal="right" vertical="center"/>
    </xf>
    <xf numFmtId="168" fontId="14" fillId="7" borderId="4" applyAlignment="1" pivotButton="0" quotePrefix="0" xfId="0">
      <alignment horizontal="right" vertical="center"/>
    </xf>
    <xf numFmtId="170" fontId="14" fillId="7" borderId="4" applyAlignment="1" pivotButton="0" quotePrefix="0" xfId="0">
      <alignment horizontal="right" vertical="center"/>
    </xf>
    <xf numFmtId="171" fontId="14" fillId="7" borderId="4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wrapText="1"/>
    </xf>
    <xf numFmtId="1" fontId="18" fillId="9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right" vertical="center"/>
    </xf>
    <xf numFmtId="165" fontId="18" fillId="6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Growth (£)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Model'!I4</f>
            </strRef>
          </tx>
          <spPr>
            <a:ln xmlns:a="http://schemas.openxmlformats.org/drawingml/2006/main" w="22225">
              <a:solidFill>
                <a:srgbClr val="1580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Model'!$B$5:$B$16</f>
            </numRef>
          </cat>
          <val>
            <numRef>
              <f>'Monthly Model'!$I$5:$I$16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Profit / Loss (£)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Model'!O4</f>
            </strRef>
          </tx>
          <spPr>
            <a:ln xmlns:a="http://schemas.openxmlformats.org/drawingml/2006/main" w="22225">
              <a:solidFill>
                <a:srgbClr val="1E40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Model'!$B$5:$B$16</f>
            </numRef>
          </cat>
          <val>
            <numRef>
              <f>'Monthly Model'!$O$5:$O$16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Costs (£)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Model'!I4</f>
            </strRef>
          </tx>
          <spPr>
            <a:solidFill xmlns:a="http://schemas.openxmlformats.org/drawingml/2006/main">
              <a:srgbClr val="15803D"/>
            </a:solidFill>
            <a:ln xmlns:a="http://schemas.openxmlformats.org/drawingml/2006/main">
              <a:prstDash val="solid"/>
            </a:ln>
          </spPr>
          <cat>
            <numRef>
              <f>'Monthly Model'!$B$5:$B$16</f>
            </numRef>
          </cat>
          <val>
            <numRef>
              <f>'Monthly Model'!$I$5:$I$16</f>
            </numRef>
          </val>
        </ser>
        <ser>
          <idx val="1"/>
          <order val="1"/>
          <tx>
            <strRef>
              <f>'Monthly Model'!J4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'Monthly Model'!$B$5:$B$16</f>
            </numRef>
          </cat>
          <val>
            <numRef>
              <f>'Monthly Model'!$J$5:$J$16</f>
            </numRef>
          </val>
        </ser>
        <ser>
          <idx val="2"/>
          <order val="2"/>
          <tx>
            <strRef>
              <f>'Monthly Model'!M4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'Monthly Model'!$B$5:$B$16</f>
            </numRef>
          </cat>
          <val>
            <numRef>
              <f>'Monthly Model'!$M$5:$M$16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28" customWidth="1" min="4" max="4"/>
  </cols>
  <sheetData>
    <row r="1" ht="36" customHeight="1">
      <c r="A1" s="1" t="inlineStr">
        <is>
          <t>📞 Phone Phoebe — Business Assumptions  |  Yellow = change these</t>
        </is>
      </c>
    </row>
    <row r="2" ht="16" customHeight="1">
      <c r="A2" s="2" t="inlineStr">
        <is>
          <t xml:space="preserve">  ✏️  Edit any yellow cell — the Monthly Model and Unit Economics sheets update automatically</t>
        </is>
      </c>
    </row>
    <row r="3" ht="6" customHeight="1"/>
    <row r="4" ht="20" customHeight="1">
      <c r="A4" s="3" t="inlineStr">
        <is>
          <t xml:space="preserve">  1 — PRICING TIERS</t>
        </is>
      </c>
    </row>
    <row r="5" ht="19" customHeight="1">
      <c r="B5" s="4" t="inlineStr">
        <is>
          <t>Basic plan price</t>
        </is>
      </c>
      <c r="C5" s="5" t="n">
        <v>39</v>
      </c>
      <c r="D5" s="6" t="inlineStr">
        <is>
          <t>£/month</t>
        </is>
      </c>
    </row>
    <row r="6" ht="19" customHeight="1">
      <c r="B6" s="4" t="inlineStr">
        <is>
          <t>Professional plan price</t>
        </is>
      </c>
      <c r="C6" s="5" t="n">
        <v>89</v>
      </c>
      <c r="D6" s="6" t="inlineStr">
        <is>
          <t>£/month</t>
        </is>
      </c>
    </row>
    <row r="7" ht="19" customHeight="1">
      <c r="B7" s="4" t="inlineStr">
        <is>
          <t>Premium plan price</t>
        </is>
      </c>
      <c r="C7" s="5" t="n">
        <v>189</v>
      </c>
      <c r="D7" s="6" t="inlineStr">
        <is>
          <t>£/month</t>
        </is>
      </c>
    </row>
    <row r="8" ht="6" customHeight="1"/>
    <row r="9" ht="20" customHeight="1">
      <c r="A9" s="3" t="inlineStr">
        <is>
          <t xml:space="preserve">  2 — CLIENT PLAN MIX  (must add to 100%)</t>
        </is>
      </c>
    </row>
    <row r="10" ht="19" customHeight="1">
      <c r="B10" s="4" t="inlineStr">
        <is>
          <t>% of clients on Basic</t>
        </is>
      </c>
      <c r="C10" s="7" t="n">
        <v>0.7</v>
      </c>
      <c r="D10" s="6" t="inlineStr">
        <is>
          <t>e.g. 0.70 = 70%</t>
        </is>
      </c>
    </row>
    <row r="11" ht="19" customHeight="1">
      <c r="B11" s="4" t="inlineStr">
        <is>
          <t>% of clients on Professional</t>
        </is>
      </c>
      <c r="C11" s="7" t="n">
        <v>0.25</v>
      </c>
      <c r="D11" s="6" t="inlineStr">
        <is>
          <t>e.g. 0.25 = 25%</t>
        </is>
      </c>
    </row>
    <row r="12" ht="19" customHeight="1">
      <c r="B12" s="4" t="inlineStr">
        <is>
          <t>% of clients on Premium</t>
        </is>
      </c>
      <c r="C12" s="7" t="n">
        <v>0.05</v>
      </c>
      <c r="D12" s="6" t="inlineStr">
        <is>
          <t>e.g. 0.05 = 5%</t>
        </is>
      </c>
    </row>
    <row r="13" ht="19" customHeight="1">
      <c r="B13" s="4" t="inlineStr">
        <is>
          <t>▶ Blended ARPU (auto)</t>
        </is>
      </c>
      <c r="C13" s="8">
        <f>C5*C10+C6*C11+C7*C12</f>
        <v/>
      </c>
      <c r="D13" s="6" t="inlineStr">
        <is>
          <t>£/client/month</t>
        </is>
      </c>
    </row>
    <row r="14" ht="6" customHeight="1"/>
    <row r="15" ht="20" customHeight="1">
      <c r="A15" s="3" t="inlineStr">
        <is>
          <t xml:space="preserve">  3 — VARIABLE COST PER CALL</t>
        </is>
      </c>
    </row>
    <row r="16" ht="19" customHeight="1">
      <c r="B16" s="4" t="inlineStr">
        <is>
          <t>All-in API cost per minute</t>
        </is>
      </c>
      <c r="C16" s="9" t="n">
        <v>0.11</v>
      </c>
      <c r="D16" s="6" t="inlineStr">
        <is>
          <t>£/min  (Vapi+Deepgram+GPT+11labs)</t>
        </is>
      </c>
    </row>
    <row r="17" ht="19" customHeight="1">
      <c r="B17" s="4" t="inlineStr">
        <is>
          <t>Average call duration</t>
        </is>
      </c>
      <c r="C17" s="10" t="n">
        <v>3</v>
      </c>
      <c r="D17" s="6" t="inlineStr">
        <is>
          <t>minutes</t>
        </is>
      </c>
    </row>
    <row r="18" ht="19" customHeight="1">
      <c r="B18" s="4" t="inlineStr">
        <is>
          <t>Average calls per client/month</t>
        </is>
      </c>
      <c r="C18" s="11" t="n">
        <v>30</v>
      </c>
      <c r="D18" s="6" t="inlineStr">
        <is>
          <t>calls</t>
        </is>
      </c>
    </row>
    <row r="19" ht="19" customHeight="1">
      <c r="B19" s="4" t="inlineStr">
        <is>
          <t>▶ Variable COGS per client (auto)</t>
        </is>
      </c>
      <c r="C19" s="8">
        <f>C16*C17*C18</f>
        <v/>
      </c>
      <c r="D19" s="6" t="inlineStr">
        <is>
          <t>£/month</t>
        </is>
      </c>
    </row>
    <row r="20" ht="6" customHeight="1"/>
    <row r="21" ht="20" customHeight="1">
      <c r="A21" s="3" t="inlineStr">
        <is>
          <t xml:space="preserve">  4 — FIXED COSTS PER CLIENT / MONTH</t>
        </is>
      </c>
    </row>
    <row r="22" ht="19" customHeight="1">
      <c r="B22" s="4" t="inlineStr">
        <is>
          <t>Vapi phone number</t>
        </is>
      </c>
      <c r="C22" s="12" t="n">
        <v>1.6</v>
      </c>
      <c r="D22" s="6" t="inlineStr">
        <is>
          <t>£/month</t>
        </is>
      </c>
    </row>
    <row r="23" ht="19" customHeight="1">
      <c r="B23" s="4" t="inlineStr">
        <is>
          <t>Hosting (Railway share/client)</t>
        </is>
      </c>
      <c r="C23" s="12" t="n">
        <v>1.5</v>
      </c>
      <c r="D23" s="6" t="inlineStr">
        <is>
          <t>£/month</t>
        </is>
      </c>
    </row>
    <row r="24" ht="19" customHeight="1">
      <c r="B24" s="4" t="inlineStr">
        <is>
          <t>ElevenLabs voice share</t>
        </is>
      </c>
      <c r="C24" s="12" t="n">
        <v>1.5</v>
      </c>
      <c r="D24" s="6" t="inlineStr">
        <is>
          <t>£/month</t>
        </is>
      </c>
    </row>
    <row r="25" ht="19" customHeight="1">
      <c r="B25" s="4" t="inlineStr">
        <is>
          <t>Cal.com (client's own free plan)</t>
        </is>
      </c>
      <c r="C25" s="12" t="n">
        <v>0</v>
      </c>
      <c r="D25" s="6" t="inlineStr">
        <is>
          <t>£/month</t>
        </is>
      </c>
    </row>
    <row r="26" ht="19" customHeight="1">
      <c r="B26" s="4" t="inlineStr">
        <is>
          <t>▶ Fixed per client (auto)</t>
        </is>
      </c>
      <c r="C26" s="8">
        <f>SUM(C22:C25)</f>
        <v/>
      </c>
      <c r="D26" s="6" t="inlineStr">
        <is>
          <t>£/month</t>
        </is>
      </c>
    </row>
    <row r="27" ht="19" customHeight="1">
      <c r="B27" s="4" t="inlineStr">
        <is>
          <t>▶ ALL-IN COGS per client (auto)</t>
        </is>
      </c>
      <c r="C27" s="8">
        <f>C19+C26</f>
        <v/>
      </c>
      <c r="D27" s="6" t="inlineStr">
        <is>
          <t>£/month — your true cost per client</t>
        </is>
      </c>
    </row>
    <row r="28" ht="6" customHeight="1"/>
    <row r="29" ht="20" customHeight="1">
      <c r="A29" s="3" t="inlineStr">
        <is>
          <t xml:space="preserve">  5 — MONTHLY OVERHEAD  (your fixed running costs)</t>
        </is>
      </c>
    </row>
    <row r="30" ht="19" customHeight="1">
      <c r="B30" s="4" t="inlineStr">
        <is>
          <t>Facebook / Instagram ads</t>
        </is>
      </c>
      <c r="C30" s="5" t="n">
        <v>200</v>
      </c>
      <c r="D30" s="6" t="inlineStr">
        <is>
          <t>£/month</t>
        </is>
      </c>
    </row>
    <row r="31" ht="19" customHeight="1">
      <c r="B31" s="4" t="inlineStr">
        <is>
          <t>Railway server hosting</t>
        </is>
      </c>
      <c r="C31" s="5" t="n">
        <v>5</v>
      </c>
      <c r="D31" s="6" t="inlineStr">
        <is>
          <t>£/month</t>
        </is>
      </c>
    </row>
    <row r="32" ht="19" customHeight="1">
      <c r="B32" s="4" t="inlineStr">
        <is>
          <t>ElevenLabs Creator plan</t>
        </is>
      </c>
      <c r="C32" s="5" t="n">
        <v>18</v>
      </c>
      <c r="D32" s="6" t="inlineStr">
        <is>
          <t>£/month</t>
        </is>
      </c>
    </row>
    <row r="33" ht="19" customHeight="1">
      <c r="B33" s="4" t="inlineStr">
        <is>
          <t>Domain + tools + misc</t>
        </is>
      </c>
      <c r="C33" s="5" t="n">
        <v>10</v>
      </c>
      <c r="D33" s="6" t="inlineStr">
        <is>
          <t>£/month</t>
        </is>
      </c>
    </row>
    <row r="34" ht="19" customHeight="1">
      <c r="B34" s="4" t="inlineStr">
        <is>
          <t>▶ Total overhead (auto)</t>
        </is>
      </c>
      <c r="C34" s="13">
        <f>SUM(C30:C33)</f>
        <v/>
      </c>
      <c r="D34" s="6" t="inlineStr">
        <is>
          <t>£/month</t>
        </is>
      </c>
    </row>
    <row r="35" ht="6" customHeight="1"/>
    <row r="36" ht="20" customHeight="1">
      <c r="A36" s="3" t="inlineStr">
        <is>
          <t xml:space="preserve">  6 — CUSTOMER ACQUISITION &amp; GROWTH</t>
        </is>
      </c>
    </row>
    <row r="37" ht="19" customHeight="1">
      <c r="B37" s="4" t="inlineStr">
        <is>
          <t>Cost per lead (Facebook ads)</t>
        </is>
      </c>
      <c r="C37" s="12" t="n">
        <v>5</v>
      </c>
      <c r="D37" s="6" t="inlineStr">
        <is>
          <t>£/lead</t>
        </is>
      </c>
    </row>
    <row r="38" ht="19" customHeight="1">
      <c r="B38" s="4" t="inlineStr">
        <is>
          <t>Lead → trial start rate</t>
        </is>
      </c>
      <c r="C38" s="7" t="n">
        <v>0.25</v>
      </c>
      <c r="D38" s="6" t="inlineStr">
        <is>
          <t>%</t>
        </is>
      </c>
    </row>
    <row r="39" ht="19" customHeight="1">
      <c r="B39" s="4" t="inlineStr">
        <is>
          <t>Trial → paid rate  ← KEY NUMBER</t>
        </is>
      </c>
      <c r="C39" s="7" t="n">
        <v>0.25</v>
      </c>
      <c r="D39" s="6" t="inlineStr">
        <is>
          <t>% (most important variable)</t>
        </is>
      </c>
    </row>
    <row r="40" ht="19" customHeight="1">
      <c r="B40" s="4" t="inlineStr">
        <is>
          <t>▶ New paid clients/mo from ads (auto)</t>
        </is>
      </c>
      <c r="C40" s="14">
        <f>(C30/C37)*C38*C39</f>
        <v/>
      </c>
      <c r="D40" s="6" t="inlineStr">
        <is>
          <t>clients/month</t>
        </is>
      </c>
    </row>
    <row r="41" ht="19" customHeight="1">
      <c r="B41" s="4" t="inlineStr">
        <is>
          <t>Organic / referral (from month 5)</t>
        </is>
      </c>
      <c r="C41" s="11" t="n">
        <v>1</v>
      </c>
      <c r="D41" s="6" t="inlineStr">
        <is>
          <t>clients/month</t>
        </is>
      </c>
    </row>
    <row r="42" ht="19" customHeight="1">
      <c r="B42" s="4" t="inlineStr">
        <is>
          <t>Monthly churn rate</t>
        </is>
      </c>
      <c r="C42" s="15" t="n">
        <v>0.03</v>
      </c>
      <c r="D42" s="6" t="inlineStr">
        <is>
          <t>% (0.03 = lose 3 in every 100)</t>
        </is>
      </c>
    </row>
    <row r="43" ht="6" customHeight="1"/>
    <row r="44" ht="20" customHeight="1">
      <c r="A44" s="3" t="inlineStr">
        <is>
          <t xml:space="preserve">  QUICK REFERENCE — BREAK-EVEN CLIENTS</t>
        </is>
      </c>
    </row>
    <row r="45" ht="19" customHeight="1">
      <c r="B45" s="4" t="inlineStr">
        <is>
          <t>▶ Clients needed to break even (auto)</t>
        </is>
      </c>
      <c r="C45" s="16">
        <f>CEILING(C34/(C13-C27),1)</f>
        <v/>
      </c>
      <c r="D45" s="6" t="inlineStr">
        <is>
          <t>clients — once you hit this, you're profitable</t>
        </is>
      </c>
    </row>
    <row r="46" ht="19" customHeight="1">
      <c r="B46" s="4" t="inlineStr">
        <is>
          <t>▶ CAC (cost to acquire 1 client, auto)</t>
        </is>
      </c>
      <c r="C46" s="8">
        <f>IF(C40&gt;0,C30/C40,0)</f>
        <v/>
      </c>
      <c r="D46" s="6" t="inlineStr">
        <is>
          <t>£</t>
        </is>
      </c>
    </row>
    <row r="47" ht="19" customHeight="1">
      <c r="B47" s="4" t="inlineStr">
        <is>
          <t>▶ LTV at 3% churn (auto)</t>
        </is>
      </c>
      <c r="C47" s="13">
        <f>(1/C42)*C13</f>
        <v/>
      </c>
      <c r="D47" s="6" t="inlineStr">
        <is>
          <t>£  (33-month avg lifetime × ARPU)</t>
        </is>
      </c>
    </row>
    <row r="48" ht="19" customHeight="1">
      <c r="B48" s="4" t="inlineStr">
        <is>
          <t>▶ LTV : CAC ratio (auto)</t>
        </is>
      </c>
      <c r="C48" s="17">
        <f>IF(C46&gt;0,C47/C46,0)</f>
        <v/>
      </c>
      <c r="D48" s="6" t="inlineStr">
        <is>
          <t>should be &gt; 3x</t>
        </is>
      </c>
    </row>
  </sheetData>
  <mergeCells count="9">
    <mergeCell ref="A1:D1"/>
    <mergeCell ref="A9:D9"/>
    <mergeCell ref="A4:D4"/>
    <mergeCell ref="A21:D21"/>
    <mergeCell ref="A15:D15"/>
    <mergeCell ref="A29:D29"/>
    <mergeCell ref="A2:D2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10" customWidth="1" min="4" max="4"/>
    <col width="9" customWidth="1" min="5" max="5"/>
    <col width="8" customWidth="1" min="6" max="6"/>
    <col width="10" customWidth="1" min="7" max="7"/>
    <col width="10" customWidth="1" min="8" max="8"/>
    <col width="12" customWidth="1" min="9" max="9"/>
    <col width="11" customWidth="1" min="10" max="10"/>
    <col width="13" customWidth="1" min="11" max="11"/>
    <col width="8" customWidth="1" min="12" max="12"/>
    <col width="11" customWidth="1" min="13" max="13"/>
    <col width="12" customWidth="1" min="14" max="14"/>
    <col width="13" customWidth="1" min="15" max="15"/>
  </cols>
  <sheetData>
    <row r="1" ht="36" customHeight="1">
      <c r="A1" s="1" t="inlineStr">
        <is>
          <t>📅 Phone Phoebe — 12-Month Revenue Model  (change numbers in Inputs sheet)</t>
        </is>
      </c>
    </row>
    <row r="2" ht="14" customHeight="1">
      <c r="A2" s="18" t="inlineStr">
        <is>
          <t xml:space="preserve">  All figures in £ GBP · Formulas auto-update from Inputs · Green = profit · Red = loss</t>
        </is>
      </c>
    </row>
    <row r="3" ht="8" customHeight="1"/>
    <row r="4" ht="34" customHeight="1">
      <c r="A4" s="19" t="inlineStr"/>
      <c r="B4" s="19" t="inlineStr">
        <is>
          <t>Mo</t>
        </is>
      </c>
      <c r="C4" s="19" t="inlineStr">
        <is>
          <t>New
(Ads)</t>
        </is>
      </c>
      <c r="D4" s="19" t="inlineStr">
        <is>
          <t>New
(Organic)</t>
        </is>
      </c>
      <c r="E4" s="19" t="inlineStr">
        <is>
          <t>Total
New</t>
        </is>
      </c>
      <c r="F4" s="19" t="inlineStr">
        <is>
          <t>Churned</t>
        </is>
      </c>
      <c r="G4" s="19" t="inlineStr">
        <is>
          <t>Active
Clients</t>
        </is>
      </c>
      <c r="H4" s="19" t="inlineStr">
        <is>
          <t>ARPU
£</t>
        </is>
      </c>
      <c r="I4" s="19" t="inlineStr">
        <is>
          <t>MRR
£</t>
        </is>
      </c>
      <c r="J4" s="19" t="inlineStr">
        <is>
          <t>COGS
£</t>
        </is>
      </c>
      <c r="K4" s="19" t="inlineStr">
        <is>
          <t>Gross
Profit £</t>
        </is>
      </c>
      <c r="L4" s="19" t="inlineStr">
        <is>
          <t>Margin
%</t>
        </is>
      </c>
      <c r="M4" s="19" t="inlineStr">
        <is>
          <t>Overhead
£</t>
        </is>
      </c>
      <c r="N4" s="19" t="inlineStr">
        <is>
          <t>Net P&amp;L
£</t>
        </is>
      </c>
      <c r="O4" s="19" t="inlineStr">
        <is>
          <t>Cumulative
£</t>
        </is>
      </c>
    </row>
    <row r="5" ht="20" customHeight="1">
      <c r="A5" s="20" t="n"/>
      <c r="B5" s="21" t="n">
        <v>1</v>
      </c>
      <c r="C5" s="22">
        <f>ROUND('Inputs'!C40,0)</f>
        <v/>
      </c>
      <c r="D5" s="22" t="n">
        <v>0</v>
      </c>
      <c r="E5" s="23">
        <f>C5+D5</f>
        <v/>
      </c>
      <c r="F5" s="24">
        <f>0</f>
        <v/>
      </c>
      <c r="G5" s="25">
        <f>E5-F5</f>
        <v/>
      </c>
      <c r="H5" s="26">
        <f>'Inputs'!C13</f>
        <v/>
      </c>
      <c r="I5" s="27">
        <f>G5*H5</f>
        <v/>
      </c>
      <c r="J5" s="28">
        <f>G5*'Inputs'!C27</f>
        <v/>
      </c>
      <c r="K5" s="29">
        <f>I5-J5</f>
        <v/>
      </c>
      <c r="L5" s="30">
        <f>IF(I5&gt;0,K5/I5,0)</f>
        <v/>
      </c>
      <c r="M5" s="28">
        <f>'Inputs'!C34</f>
        <v/>
      </c>
      <c r="N5" s="31">
        <f>K5-M5</f>
        <v/>
      </c>
      <c r="O5" s="31">
        <f>N5</f>
        <v/>
      </c>
    </row>
    <row r="6" ht="20" customHeight="1">
      <c r="A6" s="32" t="n"/>
      <c r="B6" s="21" t="n">
        <v>2</v>
      </c>
      <c r="C6" s="33">
        <f>ROUND('Inputs'!C40,0)</f>
        <v/>
      </c>
      <c r="D6" s="33" t="n">
        <v>0</v>
      </c>
      <c r="E6" s="34">
        <f>C6+D6</f>
        <v/>
      </c>
      <c r="F6" s="35">
        <f>ROUND(G5*'Inputs'!C42,0)</f>
        <v/>
      </c>
      <c r="G6" s="25">
        <f>G5+E6-F6</f>
        <v/>
      </c>
      <c r="H6" s="36">
        <f>'Inputs'!C13</f>
        <v/>
      </c>
      <c r="I6" s="27">
        <f>G6*H6</f>
        <v/>
      </c>
      <c r="J6" s="37">
        <f>G6*'Inputs'!C27</f>
        <v/>
      </c>
      <c r="K6" s="38">
        <f>I6-J6</f>
        <v/>
      </c>
      <c r="L6" s="39">
        <f>IF(I6&gt;0,K6/I6,0)</f>
        <v/>
      </c>
      <c r="M6" s="37">
        <f>'Inputs'!C34</f>
        <v/>
      </c>
      <c r="N6" s="31">
        <f>K6-M6</f>
        <v/>
      </c>
      <c r="O6" s="31">
        <f>O5+N6</f>
        <v/>
      </c>
    </row>
    <row r="7" ht="20" customHeight="1">
      <c r="A7" s="20" t="n"/>
      <c r="B7" s="21" t="n">
        <v>3</v>
      </c>
      <c r="C7" s="22">
        <f>ROUND('Inputs'!C40,0)</f>
        <v/>
      </c>
      <c r="D7" s="22" t="n">
        <v>0</v>
      </c>
      <c r="E7" s="23">
        <f>C7+D7</f>
        <v/>
      </c>
      <c r="F7" s="24">
        <f>ROUND(G6*'Inputs'!C42,0)</f>
        <v/>
      </c>
      <c r="G7" s="25">
        <f>G6+E7-F7</f>
        <v/>
      </c>
      <c r="H7" s="26">
        <f>'Inputs'!C13</f>
        <v/>
      </c>
      <c r="I7" s="27">
        <f>G7*H7</f>
        <v/>
      </c>
      <c r="J7" s="28">
        <f>G7*'Inputs'!C27</f>
        <v/>
      </c>
      <c r="K7" s="29">
        <f>I7-J7</f>
        <v/>
      </c>
      <c r="L7" s="30">
        <f>IF(I7&gt;0,K7/I7,0)</f>
        <v/>
      </c>
      <c r="M7" s="28">
        <f>'Inputs'!C34</f>
        <v/>
      </c>
      <c r="N7" s="40">
        <f>K7-M7</f>
        <v/>
      </c>
      <c r="O7" s="40">
        <f>O6+N7</f>
        <v/>
      </c>
    </row>
    <row r="8" ht="20" customHeight="1">
      <c r="A8" s="32" t="n"/>
      <c r="B8" s="21" t="n">
        <v>4</v>
      </c>
      <c r="C8" s="33">
        <f>ROUND('Inputs'!C40,0)</f>
        <v/>
      </c>
      <c r="D8" s="33" t="n">
        <v>0</v>
      </c>
      <c r="E8" s="34">
        <f>C8+D8</f>
        <v/>
      </c>
      <c r="F8" s="35">
        <f>ROUND(G7*'Inputs'!C42,0)</f>
        <v/>
      </c>
      <c r="G8" s="25">
        <f>G7+E8-F8</f>
        <v/>
      </c>
      <c r="H8" s="36">
        <f>'Inputs'!C13</f>
        <v/>
      </c>
      <c r="I8" s="27">
        <f>G8*H8</f>
        <v/>
      </c>
      <c r="J8" s="37">
        <f>G8*'Inputs'!C27</f>
        <v/>
      </c>
      <c r="K8" s="38">
        <f>I8-J8</f>
        <v/>
      </c>
      <c r="L8" s="39">
        <f>IF(I8&gt;0,K8/I8,0)</f>
        <v/>
      </c>
      <c r="M8" s="37">
        <f>'Inputs'!C34</f>
        <v/>
      </c>
      <c r="N8" s="40">
        <f>K8-M8</f>
        <v/>
      </c>
      <c r="O8" s="40">
        <f>O7+N8</f>
        <v/>
      </c>
    </row>
    <row r="9" ht="20" customHeight="1">
      <c r="A9" s="20" t="n"/>
      <c r="B9" s="21" t="n">
        <v>5</v>
      </c>
      <c r="C9" s="22">
        <f>ROUND('Inputs'!C40,0)</f>
        <v/>
      </c>
      <c r="D9" s="22">
        <f>'Inputs'!C41</f>
        <v/>
      </c>
      <c r="E9" s="23">
        <f>C9+D9</f>
        <v/>
      </c>
      <c r="F9" s="24">
        <f>ROUND(G8*'Inputs'!C42,0)</f>
        <v/>
      </c>
      <c r="G9" s="25">
        <f>G8+E9-F9</f>
        <v/>
      </c>
      <c r="H9" s="26">
        <f>'Inputs'!C13</f>
        <v/>
      </c>
      <c r="I9" s="27">
        <f>G9*H9</f>
        <v/>
      </c>
      <c r="J9" s="28">
        <f>G9*'Inputs'!C27</f>
        <v/>
      </c>
      <c r="K9" s="29">
        <f>I9-J9</f>
        <v/>
      </c>
      <c r="L9" s="30">
        <f>IF(I9&gt;0,K9/I9,0)</f>
        <v/>
      </c>
      <c r="M9" s="28">
        <f>'Inputs'!C34</f>
        <v/>
      </c>
      <c r="N9" s="40">
        <f>K9-M9</f>
        <v/>
      </c>
      <c r="O9" s="40">
        <f>O8+N9</f>
        <v/>
      </c>
    </row>
    <row r="10" ht="20" customHeight="1">
      <c r="A10" s="32" t="n"/>
      <c r="B10" s="21" t="n">
        <v>6</v>
      </c>
      <c r="C10" s="33">
        <f>ROUND('Inputs'!C40,0)</f>
        <v/>
      </c>
      <c r="D10" s="33">
        <f>'Inputs'!C41</f>
        <v/>
      </c>
      <c r="E10" s="34">
        <f>C10+D10</f>
        <v/>
      </c>
      <c r="F10" s="35">
        <f>ROUND(G9*'Inputs'!C42,0)</f>
        <v/>
      </c>
      <c r="G10" s="25">
        <f>G9+E10-F10</f>
        <v/>
      </c>
      <c r="H10" s="36">
        <f>'Inputs'!C13</f>
        <v/>
      </c>
      <c r="I10" s="27">
        <f>G10*H10</f>
        <v/>
      </c>
      <c r="J10" s="37">
        <f>G10*'Inputs'!C27</f>
        <v/>
      </c>
      <c r="K10" s="38">
        <f>I10-J10</f>
        <v/>
      </c>
      <c r="L10" s="39">
        <f>IF(I10&gt;0,K10/I10,0)</f>
        <v/>
      </c>
      <c r="M10" s="37">
        <f>'Inputs'!C34</f>
        <v/>
      </c>
      <c r="N10" s="40">
        <f>K10-M10</f>
        <v/>
      </c>
      <c r="O10" s="40">
        <f>O9+N10</f>
        <v/>
      </c>
    </row>
    <row r="11" ht="20" customHeight="1">
      <c r="A11" s="20" t="n"/>
      <c r="B11" s="21" t="n">
        <v>7</v>
      </c>
      <c r="C11" s="22">
        <f>ROUND('Inputs'!C40,0)</f>
        <v/>
      </c>
      <c r="D11" s="22">
        <f>'Inputs'!C41</f>
        <v/>
      </c>
      <c r="E11" s="23">
        <f>C11+D11</f>
        <v/>
      </c>
      <c r="F11" s="24">
        <f>ROUND(G10*'Inputs'!C42,0)</f>
        <v/>
      </c>
      <c r="G11" s="25">
        <f>G10+E11-F11</f>
        <v/>
      </c>
      <c r="H11" s="26">
        <f>'Inputs'!C13</f>
        <v/>
      </c>
      <c r="I11" s="27">
        <f>G11*H11</f>
        <v/>
      </c>
      <c r="J11" s="28">
        <f>G11*'Inputs'!C27</f>
        <v/>
      </c>
      <c r="K11" s="29">
        <f>I11-J11</f>
        <v/>
      </c>
      <c r="L11" s="30">
        <f>IF(I11&gt;0,K11/I11,0)</f>
        <v/>
      </c>
      <c r="M11" s="28">
        <f>'Inputs'!C34</f>
        <v/>
      </c>
      <c r="N11" s="40">
        <f>K11-M11</f>
        <v/>
      </c>
      <c r="O11" s="40">
        <f>O10+N11</f>
        <v/>
      </c>
    </row>
    <row r="12" ht="20" customHeight="1">
      <c r="A12" s="32" t="n"/>
      <c r="B12" s="21" t="n">
        <v>8</v>
      </c>
      <c r="C12" s="33">
        <f>ROUND('Inputs'!C40,0)</f>
        <v/>
      </c>
      <c r="D12" s="33">
        <f>'Inputs'!C41</f>
        <v/>
      </c>
      <c r="E12" s="34">
        <f>C12+D12</f>
        <v/>
      </c>
      <c r="F12" s="35">
        <f>ROUND(G11*'Inputs'!C42,0)</f>
        <v/>
      </c>
      <c r="G12" s="25">
        <f>G11+E12-F12</f>
        <v/>
      </c>
      <c r="H12" s="36">
        <f>'Inputs'!C13</f>
        <v/>
      </c>
      <c r="I12" s="27">
        <f>G12*H12</f>
        <v/>
      </c>
      <c r="J12" s="37">
        <f>G12*'Inputs'!C27</f>
        <v/>
      </c>
      <c r="K12" s="38">
        <f>I12-J12</f>
        <v/>
      </c>
      <c r="L12" s="39">
        <f>IF(I12&gt;0,K12/I12,0)</f>
        <v/>
      </c>
      <c r="M12" s="37">
        <f>'Inputs'!C34</f>
        <v/>
      </c>
      <c r="N12" s="40">
        <f>K12-M12</f>
        <v/>
      </c>
      <c r="O12" s="40">
        <f>O11+N12</f>
        <v/>
      </c>
    </row>
    <row r="13" ht="20" customHeight="1">
      <c r="A13" s="20" t="n"/>
      <c r="B13" s="21" t="n">
        <v>9</v>
      </c>
      <c r="C13" s="22">
        <f>ROUND('Inputs'!C40,0)</f>
        <v/>
      </c>
      <c r="D13" s="22">
        <f>'Inputs'!C41</f>
        <v/>
      </c>
      <c r="E13" s="23">
        <f>C13+D13</f>
        <v/>
      </c>
      <c r="F13" s="24">
        <f>ROUND(G12*'Inputs'!C42,0)</f>
        <v/>
      </c>
      <c r="G13" s="25">
        <f>G12+E13-F13</f>
        <v/>
      </c>
      <c r="H13" s="26">
        <f>'Inputs'!C13</f>
        <v/>
      </c>
      <c r="I13" s="27">
        <f>G13*H13</f>
        <v/>
      </c>
      <c r="J13" s="28">
        <f>G13*'Inputs'!C27</f>
        <v/>
      </c>
      <c r="K13" s="29">
        <f>I13-J13</f>
        <v/>
      </c>
      <c r="L13" s="30">
        <f>IF(I13&gt;0,K13/I13,0)</f>
        <v/>
      </c>
      <c r="M13" s="28">
        <f>'Inputs'!C34</f>
        <v/>
      </c>
      <c r="N13" s="40">
        <f>K13-M13</f>
        <v/>
      </c>
      <c r="O13" s="40">
        <f>O12+N13</f>
        <v/>
      </c>
    </row>
    <row r="14" ht="20" customHeight="1">
      <c r="A14" s="32" t="n"/>
      <c r="B14" s="21" t="n">
        <v>10</v>
      </c>
      <c r="C14" s="33">
        <f>ROUND('Inputs'!C40,0)</f>
        <v/>
      </c>
      <c r="D14" s="33">
        <f>'Inputs'!C41</f>
        <v/>
      </c>
      <c r="E14" s="34">
        <f>C14+D14</f>
        <v/>
      </c>
      <c r="F14" s="35">
        <f>ROUND(G13*'Inputs'!C42,0)</f>
        <v/>
      </c>
      <c r="G14" s="25">
        <f>G13+E14-F14</f>
        <v/>
      </c>
      <c r="H14" s="36">
        <f>'Inputs'!C13</f>
        <v/>
      </c>
      <c r="I14" s="27">
        <f>G14*H14</f>
        <v/>
      </c>
      <c r="J14" s="37">
        <f>G14*'Inputs'!C27</f>
        <v/>
      </c>
      <c r="K14" s="38">
        <f>I14-J14</f>
        <v/>
      </c>
      <c r="L14" s="39">
        <f>IF(I14&gt;0,K14/I14,0)</f>
        <v/>
      </c>
      <c r="M14" s="37">
        <f>'Inputs'!C34</f>
        <v/>
      </c>
      <c r="N14" s="40">
        <f>K14-M14</f>
        <v/>
      </c>
      <c r="O14" s="40">
        <f>O13+N14</f>
        <v/>
      </c>
    </row>
    <row r="15" ht="20" customHeight="1">
      <c r="A15" s="20" t="n"/>
      <c r="B15" s="21" t="n">
        <v>11</v>
      </c>
      <c r="C15" s="22">
        <f>ROUND('Inputs'!C40,0)</f>
        <v/>
      </c>
      <c r="D15" s="22">
        <f>'Inputs'!C41</f>
        <v/>
      </c>
      <c r="E15" s="23">
        <f>C15+D15</f>
        <v/>
      </c>
      <c r="F15" s="24">
        <f>ROUND(G14*'Inputs'!C42,0)</f>
        <v/>
      </c>
      <c r="G15" s="25">
        <f>G14+E15-F15</f>
        <v/>
      </c>
      <c r="H15" s="26">
        <f>'Inputs'!C13</f>
        <v/>
      </c>
      <c r="I15" s="27">
        <f>G15*H15</f>
        <v/>
      </c>
      <c r="J15" s="28">
        <f>G15*'Inputs'!C27</f>
        <v/>
      </c>
      <c r="K15" s="29">
        <f>I15-J15</f>
        <v/>
      </c>
      <c r="L15" s="30">
        <f>IF(I15&gt;0,K15/I15,0)</f>
        <v/>
      </c>
      <c r="M15" s="28">
        <f>'Inputs'!C34</f>
        <v/>
      </c>
      <c r="N15" s="40">
        <f>K15-M15</f>
        <v/>
      </c>
      <c r="O15" s="40">
        <f>O14+N15</f>
        <v/>
      </c>
    </row>
    <row r="16" ht="20" customHeight="1">
      <c r="A16" s="32" t="n"/>
      <c r="B16" s="21" t="n">
        <v>12</v>
      </c>
      <c r="C16" s="33">
        <f>ROUND('Inputs'!C40,0)</f>
        <v/>
      </c>
      <c r="D16" s="33">
        <f>'Inputs'!C41</f>
        <v/>
      </c>
      <c r="E16" s="34">
        <f>C16+D16</f>
        <v/>
      </c>
      <c r="F16" s="35">
        <f>ROUND(G15*'Inputs'!C42,0)</f>
        <v/>
      </c>
      <c r="G16" s="25">
        <f>G15+E16-F16</f>
        <v/>
      </c>
      <c r="H16" s="36">
        <f>'Inputs'!C13</f>
        <v/>
      </c>
      <c r="I16" s="27">
        <f>G16*H16</f>
        <v/>
      </c>
      <c r="J16" s="37">
        <f>G16*'Inputs'!C27</f>
        <v/>
      </c>
      <c r="K16" s="38">
        <f>I16-J16</f>
        <v/>
      </c>
      <c r="L16" s="39">
        <f>IF(I16&gt;0,K16/I16,0)</f>
        <v/>
      </c>
      <c r="M16" s="37">
        <f>'Inputs'!C34</f>
        <v/>
      </c>
      <c r="N16" s="40">
        <f>K16-M16</f>
        <v/>
      </c>
      <c r="O16" s="40">
        <f>O15+N16</f>
        <v/>
      </c>
    </row>
    <row r="17" ht="8" customHeight="1"/>
    <row r="18" ht="24" customHeight="1">
      <c r="A18" s="41" t="inlineStr">
        <is>
          <t xml:space="preserve">  YEAR 1 TOTALS →</t>
        </is>
      </c>
      <c r="I18" s="42">
        <f>SUM(I5:I16)</f>
        <v/>
      </c>
      <c r="J18" s="42">
        <f>SUM(J5:J16)</f>
        <v/>
      </c>
      <c r="K18" s="42">
        <f>SUM(K5:K16)</f>
        <v/>
      </c>
      <c r="M18" s="42">
        <f>SUM(M5:M16)</f>
        <v/>
      </c>
      <c r="N18" s="42">
        <f>SUM(N5:N16)</f>
        <v/>
      </c>
      <c r="O18" s="42">
        <f>O16</f>
        <v/>
      </c>
    </row>
    <row r="19" ht="8" customHeight="1"/>
    <row r="20" ht="22" customHeight="1">
      <c r="A20" s="43" t="inlineStr">
        <is>
          <t xml:space="preserve">  📊  KEY PERFORMANCE INDICATORS  (auto-updated)</t>
        </is>
      </c>
    </row>
    <row r="21" ht="28" customHeight="1">
      <c r="B21" s="44" t="inlineStr">
        <is>
          <t>Exit Clients
(Month 12)</t>
        </is>
      </c>
      <c r="C21" s="44" t="inlineStr">
        <is>
          <t>Exit MRR</t>
        </is>
      </c>
      <c r="D21" s="44" t="inlineStr">
        <is>
          <t>Exit ARR</t>
        </is>
      </c>
      <c r="E21" s="44" t="inlineStr">
        <is>
          <t>Year-1 Net Profit</t>
        </is>
      </c>
      <c r="F21" s="44" t="inlineStr">
        <is>
          <t>Break-even
Clients</t>
        </is>
      </c>
      <c r="G21" s="44" t="inlineStr">
        <is>
          <t>Blended
ARPU</t>
        </is>
      </c>
      <c r="H21" s="44" t="inlineStr">
        <is>
          <t>COGS per
Client</t>
        </is>
      </c>
      <c r="I21" s="44" t="inlineStr">
        <is>
          <t>Gross
Margin</t>
        </is>
      </c>
      <c r="J21" s="44" t="inlineStr">
        <is>
          <t>CAC</t>
        </is>
      </c>
      <c r="K21" s="44" t="inlineStr">
        <is>
          <t>LTV</t>
        </is>
      </c>
      <c r="L21" s="44" t="inlineStr">
        <is>
          <t>LTV:CAC
Ratio</t>
        </is>
      </c>
    </row>
    <row r="22" ht="24" customHeight="1">
      <c r="B22" s="25">
        <f>G16</f>
        <v/>
      </c>
      <c r="C22" s="45">
        <f>I16</f>
        <v/>
      </c>
      <c r="D22" s="45">
        <f>I16*12</f>
        <v/>
      </c>
      <c r="E22" s="45">
        <f>SUM(N5:N16)</f>
        <v/>
      </c>
      <c r="F22" s="25">
        <f>CEILING('Inputs'!C34/('Inputs'!C13-'Inputs'!C27),1)</f>
        <v/>
      </c>
      <c r="G22" s="46">
        <f>'Inputs'!C13</f>
        <v/>
      </c>
      <c r="H22" s="46">
        <f>'Inputs'!C27</f>
        <v/>
      </c>
      <c r="I22" s="47">
        <f>IF('Inputs'!C13&gt;0,('Inputs'!C13-'Inputs'!C27)/'Inputs'!C13,0)</f>
        <v/>
      </c>
      <c r="J22" s="45">
        <f>IF('Inputs'!C40&gt;0,'Inputs'!C30/'Inputs'!C40,0)</f>
        <v/>
      </c>
      <c r="K22" s="45">
        <f>(1/'Inputs'!C42)*'Inputs'!C13</f>
        <v/>
      </c>
      <c r="L22" s="48">
        <f>IF('Inputs'!C40&gt;0,((1/'Inputs'!C42)*'Inputs'!C13)/('Inputs'!C30/'Inputs'!C40),0)</f>
        <v/>
      </c>
    </row>
    <row r="23" ht="12" customHeight="1"/>
  </sheetData>
  <mergeCells count="4">
    <mergeCell ref="A18:H18"/>
    <mergeCell ref="A1:O1"/>
    <mergeCell ref="A20:O20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36" customHeight="1">
      <c r="A1" s="1" t="inlineStr">
        <is>
          <t>💰 Phone Phoebe — Unit Economics  (auto-updates from Inputs)</t>
        </is>
      </c>
    </row>
    <row r="2" ht="14" customHeight="1">
      <c r="A2" s="18" t="inlineStr">
        <is>
          <t xml:space="preserve">  All calculations pull from Inputs sheet. Change plan prices or COGS there and these update.</t>
        </is>
      </c>
    </row>
    <row r="3" ht="6" customHeight="1"/>
    <row r="4" ht="20" customHeight="1">
      <c r="A4" s="3" t="inlineStr">
        <is>
          <t xml:space="preserve">  A — MARGIN PER PRICING TIER  (at typical 90 min/month per client)</t>
        </is>
      </c>
    </row>
    <row r="5" ht="22" customHeight="1">
      <c r="A5" s="49" t="inlineStr"/>
      <c r="B5" s="49" t="inlineStr">
        <is>
          <t>Metric</t>
        </is>
      </c>
      <c r="C5" s="49" t="inlineStr">
        <is>
          <t>Basic (£39)</t>
        </is>
      </c>
      <c r="D5" s="49" t="inlineStr">
        <is>
          <t>Professional (£89)</t>
        </is>
      </c>
      <c r="E5" s="49" t="inlineStr">
        <is>
          <t>Premium (£189)</t>
        </is>
      </c>
    </row>
    <row r="6" ht="19" customHeight="1">
      <c r="B6" s="50" t="inlineStr">
        <is>
          <t>Monthly revenue</t>
        </is>
      </c>
      <c r="C6" s="51">
        <f>'Inputs'!C5</f>
        <v/>
      </c>
      <c r="D6" s="51">
        <f>'Inputs'!C6</f>
        <v/>
      </c>
      <c r="E6" s="51">
        <f>'Inputs'!C7</f>
        <v/>
      </c>
    </row>
    <row r="7" ht="19" customHeight="1">
      <c r="B7" s="50" t="inlineStr">
        <is>
          <t>COGS (cost to serve)</t>
        </is>
      </c>
      <c r="C7" s="52">
        <f>'Inputs'!C27</f>
        <v/>
      </c>
      <c r="D7" s="52">
        <f>'Inputs'!C27</f>
        <v/>
      </c>
      <c r="E7" s="52">
        <f>'Inputs'!C27</f>
        <v/>
      </c>
    </row>
    <row r="8" ht="19" customHeight="1">
      <c r="B8" s="50" t="inlineStr">
        <is>
          <t>Gross profit per client</t>
        </is>
      </c>
      <c r="C8" s="38">
        <f>'Inputs'!C5-'Inputs'!C27</f>
        <v/>
      </c>
      <c r="D8" s="38">
        <f>'Inputs'!C6-'Inputs'!C27</f>
        <v/>
      </c>
      <c r="E8" s="38">
        <f>'Inputs'!C7-'Inputs'!C27</f>
        <v/>
      </c>
    </row>
    <row r="9" ht="19" customHeight="1">
      <c r="B9" s="50" t="inlineStr">
        <is>
          <t>Gross margin %</t>
        </is>
      </c>
      <c r="C9" s="53">
        <f>IF('Inputs'!C5&gt;0,('Inputs'!C5-'Inputs'!C27)/'Inputs'!C5,0)</f>
        <v/>
      </c>
      <c r="D9" s="53">
        <f>IF('Inputs'!C6&gt;0,('Inputs'!C6-'Inputs'!C27)/'Inputs'!C6,0)</f>
        <v/>
      </c>
      <c r="E9" s="53">
        <f>IF('Inputs'!C7&gt;0,('Inputs'!C7-'Inputs'!C27)/'Inputs'!C7,0)</f>
        <v/>
      </c>
    </row>
    <row r="10" ht="19" customHeight="1">
      <c r="B10" s="50" t="inlineStr">
        <is>
          <t>Monthly cost % of revenue</t>
        </is>
      </c>
      <c r="C10" s="54">
        <f>IF('Inputs'!C5&gt;0,'Inputs'!C27/'Inputs'!C5,0)</f>
        <v/>
      </c>
      <c r="D10" s="54">
        <f>IF('Inputs'!C6&gt;0,'Inputs'!C27/'Inputs'!C6,0)</f>
        <v/>
      </c>
      <c r="E10" s="54">
        <f>IF('Inputs'!C7&gt;0,'Inputs'!C27/'Inputs'!C7,0)</f>
        <v/>
      </c>
    </row>
    <row r="11" ht="6" customHeight="1"/>
    <row r="12" ht="20" customHeight="1">
      <c r="A12" s="3" t="inlineStr">
        <is>
          <t xml:space="preserve">  B — BREAK-EVEN ANALYSIS</t>
        </is>
      </c>
    </row>
    <row r="13" ht="22" customHeight="1">
      <c r="A13" s="49" t="inlineStr"/>
      <c r="B13" s="49" t="inlineStr">
        <is>
          <t>Metric</t>
        </is>
      </c>
      <c r="C13" s="49" t="inlineStr">
        <is>
          <t>Value</t>
        </is>
      </c>
      <c r="D13" s="49" t="inlineStr"/>
      <c r="E13" s="49" t="inlineStr">
        <is>
          <t>How to read it</t>
        </is>
      </c>
      <c r="F13" s="49" t="inlineStr"/>
    </row>
    <row r="14" ht="19" customHeight="1">
      <c r="B14" s="50" t="inlineStr">
        <is>
          <t>Contribution per client (ARPU − COGS)</t>
        </is>
      </c>
      <c r="C14" s="55">
        <f>'Inputs'!C13-'Inputs'!C27</f>
        <v/>
      </c>
      <c r="D14" s="56" t="n"/>
      <c r="E14" s="57" t="inlineStr">
        <is>
          <t>Revenue left after direct costs</t>
        </is>
      </c>
    </row>
    <row r="15" ht="19" customHeight="1">
      <c r="B15" s="50" t="inlineStr">
        <is>
          <t>Fixed overhead per month</t>
        </is>
      </c>
      <c r="C15" s="58">
        <f>'Inputs'!C34</f>
        <v/>
      </c>
      <c r="D15" s="56" t="n"/>
      <c r="E15" s="57" t="inlineStr">
        <is>
          <t>Ads + hosting + tools you pay anyway</t>
        </is>
      </c>
    </row>
    <row r="16" ht="19" customHeight="1">
      <c r="B16" s="50" t="inlineStr">
        <is>
          <t>Clients needed to break even</t>
        </is>
      </c>
      <c r="C16" s="59">
        <f>CEILING('Inputs'!C34/('Inputs'!C13-'Inputs'!C27),1)</f>
        <v/>
      </c>
      <c r="D16" s="56" t="n"/>
      <c r="E16" s="57" t="inlineStr">
        <is>
          <t>Once you hit this number, you're profitable</t>
        </is>
      </c>
    </row>
    <row r="17" ht="19" customHeight="1">
      <c r="B17" s="50" t="inlineStr">
        <is>
          <t>Break-even MRR needed</t>
        </is>
      </c>
      <c r="C17" s="58">
        <f>CEILING('Inputs'!C34/('Inputs'!C13-'Inputs'!C27),1)*'Inputs'!C13</f>
        <v/>
      </c>
      <c r="D17" s="56" t="n"/>
      <c r="E17" s="57" t="inlineStr">
        <is>
          <t>MRR target to cover all costs</t>
        </is>
      </c>
    </row>
    <row r="18" ht="6" customHeight="1"/>
    <row r="19" ht="20" customHeight="1">
      <c r="A19" s="3" t="inlineStr">
        <is>
          <t xml:space="preserve">  C — CUSTOMER ACQUISITION COST, LIFETIME VALUE &amp; PAYBACK</t>
        </is>
      </c>
    </row>
    <row r="20" ht="22" customHeight="1">
      <c r="A20" s="49" t="inlineStr"/>
      <c r="B20" s="49" t="inlineStr">
        <is>
          <t>Metric</t>
        </is>
      </c>
      <c r="C20" s="49" t="inlineStr">
        <is>
          <t>Value</t>
        </is>
      </c>
      <c r="D20" s="49" t="inlineStr"/>
      <c r="E20" s="49" t="inlineStr">
        <is>
          <t>Formula / Logic</t>
        </is>
      </c>
      <c r="F20" s="49" t="inlineStr"/>
    </row>
    <row r="21" ht="19" customHeight="1">
      <c r="B21" s="50" t="inlineStr">
        <is>
          <t>Cost per lead (from ads)</t>
        </is>
      </c>
      <c r="C21" s="60">
        <f>'Inputs'!C37</f>
        <v/>
      </c>
      <c r="D21" s="56" t="n"/>
      <c r="E21" s="57" t="inlineStr">
        <is>
          <t>Set in Inputs → Ad spend ÷ leads</t>
        </is>
      </c>
    </row>
    <row r="22" ht="19" customHeight="1">
      <c r="B22" s="50" t="inlineStr">
        <is>
          <t>New paid clients per month (from ads)</t>
        </is>
      </c>
      <c r="C22" s="61">
        <f>'Inputs'!C40</f>
        <v/>
      </c>
      <c r="D22" s="56" t="n"/>
      <c r="E22" s="57" t="inlineStr">
        <is>
          <t>Leads × trial rate × paid rate</t>
        </is>
      </c>
    </row>
    <row r="23" ht="19" customHeight="1">
      <c r="B23" s="50" t="inlineStr">
        <is>
          <t>CAC — cost to acquire 1 client</t>
        </is>
      </c>
      <c r="C23" s="60">
        <f>IF('Inputs'!C40&gt;0,'Inputs'!C30/'Inputs'!C40,0)</f>
        <v/>
      </c>
      <c r="D23" s="56" t="n"/>
      <c r="E23" s="57" t="inlineStr">
        <is>
          <t>Ad spend ÷ new paid clients</t>
        </is>
      </c>
    </row>
    <row r="24" ht="19" customHeight="1">
      <c r="B24" s="50" t="inlineStr">
        <is>
          <t>Average client lifetime (months)</t>
        </is>
      </c>
      <c r="C24" s="61">
        <f>IF('Inputs'!C42&gt;0,1/'Inputs'!C42,0)</f>
        <v/>
      </c>
      <c r="D24" s="56" t="n"/>
      <c r="E24" s="57" t="inlineStr">
        <is>
          <t>1 ÷ churn rate</t>
        </is>
      </c>
    </row>
    <row r="25" ht="19" customHeight="1">
      <c r="B25" s="50" t="inlineStr">
        <is>
          <t>LTV — lifetime value per client</t>
        </is>
      </c>
      <c r="C25" s="27">
        <f>IF('Inputs'!C42&gt;0,(1/'Inputs'!C42)*'Inputs'!C13,0)</f>
        <v/>
      </c>
      <c r="D25" s="56" t="n"/>
      <c r="E25" s="57" t="inlineStr">
        <is>
          <t>Lifetime months × ARPU</t>
        </is>
      </c>
    </row>
    <row r="26" ht="19" customHeight="1">
      <c r="B26" s="50" t="inlineStr">
        <is>
          <t>LTV : CAC ratio  (target &gt; 3x)</t>
        </is>
      </c>
      <c r="C26" s="62">
        <f>IF('Inputs'!C40&gt;0,((1/'Inputs'!C42)*'Inputs'!C13)/('Inputs'!C30/'Inputs'!C40),0)</f>
        <v/>
      </c>
      <c r="D26" s="56" t="n"/>
      <c r="E26" s="57" t="inlineStr">
        <is>
          <t>LTV ÷ CAC  |  &gt;3x = healthy, &gt;10x = excellent</t>
        </is>
      </c>
    </row>
    <row r="27" ht="19" customHeight="1">
      <c r="B27" s="50" t="inlineStr">
        <is>
          <t>CAC payback period (months)</t>
        </is>
      </c>
      <c r="C27" s="63">
        <f>IF('Inputs'!C13&gt;'Inputs'!C27,'Inputs'!C30/'Inputs'!C40/('Inputs'!C13-'Inputs'!C27),0)</f>
        <v/>
      </c>
      <c r="D27" s="56" t="n"/>
      <c r="E27" s="57" t="inlineStr">
        <is>
          <t>Months until CAC is recovered from contribution margin</t>
        </is>
      </c>
    </row>
    <row r="28" ht="6" customHeight="1"/>
    <row r="29" ht="20" customHeight="1">
      <c r="A29" s="3" t="inlineStr">
        <is>
          <t xml:space="preserve">  D — UNLIMITED MINUTES RISK  (enter a client's real call volume to stress-test)</t>
        </is>
      </c>
    </row>
    <row r="30" ht="19" customHeight="1">
      <c r="B30" s="64" t="inlineStr">
        <is>
          <t xml:space="preserve">  Change the yellow 'Average calls per client/month' and 'Average call duration' in Inputs to model a heavier user.</t>
        </is>
      </c>
    </row>
    <row r="31" ht="22" customHeight="1">
      <c r="A31" s="49" t="inlineStr"/>
      <c r="B31" s="49" t="inlineStr">
        <is>
          <t>Scenario</t>
        </is>
      </c>
      <c r="C31" s="49" t="inlineStr">
        <is>
          <t>Monthly mins</t>
        </is>
      </c>
      <c r="D31" s="49" t="inlineStr">
        <is>
          <t>Variable COGS</t>
        </is>
      </c>
      <c r="E31" s="49" t="inlineStr">
        <is>
          <t>Total COGS</t>
        </is>
      </c>
      <c r="F31" s="49" t="inlineStr">
        <is>
          <t>Still profitable on Basic?</t>
        </is>
      </c>
    </row>
    <row r="32" ht="19" customHeight="1">
      <c r="B32" s="50" t="inlineStr">
        <is>
          <t>Typical instructor (30 calls × 3 min)</t>
        </is>
      </c>
      <c r="C32" s="65">
        <f>30*3</f>
        <v/>
      </c>
      <c r="D32" s="66">
        <f>'Inputs'!C16*30*3</f>
        <v/>
      </c>
      <c r="E32" s="66">
        <f>'Inputs'!C16*30*3+'Inputs'!C26</f>
        <v/>
      </c>
      <c r="F32" s="67">
        <f>IF('Inputs'!C5-='Inputs'!C16*30*3+'Inputs'!C26&gt;0,"✅ YES (£"&amp;TEXT('Inputs'!C5-='Inputs'!C16*30*3+'Inputs'!C26,"#,##0")&amp;" margin)","❌ LOSS (£"&amp;TEXT(ABS('Inputs'!C5-='Inputs'!C16*30*3+'Inputs'!C26),"#,##0")&amp;" loss)")</f>
        <v/>
      </c>
    </row>
    <row r="33" ht="19" customHeight="1">
      <c r="B33" s="50" t="inlineStr">
        <is>
          <t>Busy instructor (50 calls × 3 min)</t>
        </is>
      </c>
      <c r="C33" s="68">
        <f>50*3</f>
        <v/>
      </c>
      <c r="D33" s="69">
        <f>'Inputs'!C16*50*3</f>
        <v/>
      </c>
      <c r="E33" s="69">
        <f>'Inputs'!C16*50*3+'Inputs'!C26</f>
        <v/>
      </c>
      <c r="F33" s="70">
        <f>IF('Inputs'!C5-='Inputs'!C16*50*3+'Inputs'!C26&gt;0,"✅ YES (£"&amp;TEXT('Inputs'!C5-='Inputs'!C16*50*3+'Inputs'!C26,"#,##0")&amp;" margin)","❌ LOSS (£"&amp;TEXT(ABS('Inputs'!C5-='Inputs'!C16*50*3+'Inputs'!C26),"#,##0")&amp;" loss)")</f>
        <v/>
      </c>
    </row>
    <row r="34" ht="19" customHeight="1">
      <c r="B34" s="50" t="inlineStr">
        <is>
          <t>High volume (100 calls × 4 min)</t>
        </is>
      </c>
      <c r="C34" s="65">
        <f>100*4</f>
        <v/>
      </c>
      <c r="D34" s="66">
        <f>'Inputs'!C16*100*4</f>
        <v/>
      </c>
      <c r="E34" s="66">
        <f>'Inputs'!C16*100*4+'Inputs'!C26</f>
        <v/>
      </c>
      <c r="F34" s="67">
        <f>IF('Inputs'!C5-='Inputs'!C16*100*4+'Inputs'!C26&gt;0,"✅ YES (£"&amp;TEXT('Inputs'!C5-='Inputs'!C16*100*4+'Inputs'!C26,"#,##0")&amp;" margin)","❌ LOSS (£"&amp;TEXT(ABS('Inputs'!C5-='Inputs'!C16*100*4+'Inputs'!C26),"#,##0")&amp;" loss)")</f>
        <v/>
      </c>
    </row>
    <row r="35" ht="19" customHeight="1">
      <c r="B35" s="50" t="inlineStr">
        <is>
          <t>Stress test (200 calls × 5 min)</t>
        </is>
      </c>
      <c r="C35" s="68">
        <f>200*5</f>
        <v/>
      </c>
      <c r="D35" s="69">
        <f>'Inputs'!C16*200*5</f>
        <v/>
      </c>
      <c r="E35" s="69">
        <f>'Inputs'!C16*200*5+'Inputs'!C26</f>
        <v/>
      </c>
      <c r="F35" s="70">
        <f>IF('Inputs'!C5-='Inputs'!C16*200*5+'Inputs'!C26&gt;0,"✅ YES (£"&amp;TEXT('Inputs'!C5-='Inputs'!C16*200*5+'Inputs'!C26,"#,##0")&amp;" margin)","❌ LOSS (£"&amp;TEXT(ABS('Inputs'!C5-='Inputs'!C16*200*5+'Inputs'!C26),"#,##0")&amp;" loss)")</f>
        <v/>
      </c>
    </row>
  </sheetData>
  <mergeCells count="18">
    <mergeCell ref="B30:F30"/>
    <mergeCell ref="A2:F2"/>
    <mergeCell ref="E16:F16"/>
    <mergeCell ref="E15:F15"/>
    <mergeCell ref="A19:F19"/>
    <mergeCell ref="E24:F24"/>
    <mergeCell ref="E25:F25"/>
    <mergeCell ref="A1:F1"/>
    <mergeCell ref="E27:F27"/>
    <mergeCell ref="E23:F23"/>
    <mergeCell ref="E22:F22"/>
    <mergeCell ref="E14:F14"/>
    <mergeCell ref="A12:F12"/>
    <mergeCell ref="A4:F4"/>
    <mergeCell ref="E26:F26"/>
    <mergeCell ref="E17:F17"/>
    <mergeCell ref="A29:F29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2026-06-17T19:05:43Z</dcterms:created>
  <dcterms:modified xmlns:dcterms="http://purl.org/dc/terms/" xmlns:xsi="http://www.w3.org/2001/XMLSchema-instance" xsi:type="dcterms:W3CDTF">2026-06-17T19:05:43Z</dcterms:modified>
</cp:coreProperties>
</file>